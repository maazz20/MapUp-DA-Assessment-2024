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az Javed\OneDrive\Desktop\"/>
    </mc:Choice>
  </mc:AlternateContent>
  <xr:revisionPtr revIDLastSave="0" documentId="8_{396AFD99-9C09-463B-9616-BADF768DAE20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7" i="18"/>
  <c r="D7" i="18"/>
  <c r="E7" i="18"/>
  <c r="F7" i="18"/>
  <c r="C8" i="18"/>
  <c r="D8" i="18"/>
  <c r="E8" i="18"/>
  <c r="F8" i="18"/>
  <c r="C9" i="18"/>
  <c r="D9" i="18"/>
  <c r="E9" i="18"/>
  <c r="F9" i="18"/>
  <c r="C10" i="18"/>
  <c r="D10" i="18"/>
  <c r="E10" i="18"/>
  <c r="F10" i="18"/>
  <c r="C11" i="18"/>
  <c r="D11" i="18"/>
  <c r="E11" i="18"/>
  <c r="F11" i="18"/>
  <c r="C12" i="18"/>
  <c r="D12" i="18"/>
  <c r="E12" i="18"/>
  <c r="F12" i="18"/>
  <c r="C13" i="18"/>
  <c r="D13" i="18"/>
  <c r="E13" i="18"/>
  <c r="F13" i="18"/>
  <c r="C14" i="18"/>
  <c r="D14" i="18"/>
  <c r="E14" i="18"/>
  <c r="F14" i="18"/>
  <c r="C15" i="18"/>
  <c r="D15" i="18"/>
  <c r="E15" i="18"/>
  <c r="F15" i="18"/>
  <c r="C16" i="18"/>
  <c r="D16" i="18"/>
  <c r="E16" i="18"/>
  <c r="F16" i="18"/>
  <c r="C17" i="18"/>
  <c r="D17" i="18"/>
  <c r="E17" i="18"/>
  <c r="F17" i="18"/>
  <c r="C18" i="18"/>
  <c r="D18" i="18"/>
  <c r="E18" i="18"/>
  <c r="F18" i="18"/>
  <c r="C19" i="18"/>
  <c r="D19" i="18"/>
  <c r="E19" i="18"/>
  <c r="F19" i="18"/>
  <c r="C20" i="18"/>
  <c r="D20" i="18"/>
  <c r="E20" i="18"/>
  <c r="F20" i="18"/>
  <c r="C21" i="18"/>
  <c r="D21" i="18"/>
  <c r="E21" i="18"/>
  <c r="F21" i="18"/>
  <c r="C22" i="18"/>
  <c r="D22" i="18"/>
  <c r="E22" i="18"/>
  <c r="F22" i="18"/>
  <c r="C23" i="18"/>
  <c r="D23" i="18"/>
  <c r="E23" i="18"/>
  <c r="F23" i="18"/>
  <c r="C24" i="18"/>
  <c r="D24" i="18"/>
  <c r="E24" i="18"/>
  <c r="F24" i="18"/>
  <c r="C25" i="18"/>
  <c r="D25" i="18"/>
  <c r="E25" i="18"/>
  <c r="F25" i="18"/>
  <c r="C26" i="18"/>
  <c r="D26" i="18"/>
  <c r="E26" i="18"/>
  <c r="F26" i="18"/>
  <c r="C27" i="18"/>
  <c r="D27" i="18"/>
  <c r="E27" i="18"/>
  <c r="F27" i="18"/>
  <c r="F6" i="18"/>
  <c r="E6" i="18"/>
  <c r="D6" i="18"/>
  <c r="C6" i="18"/>
  <c r="C28" i="18"/>
  <c r="D28" i="18"/>
  <c r="E28" i="18"/>
  <c r="F28" i="18"/>
  <c r="C29" i="18"/>
  <c r="D29" i="18"/>
  <c r="E29" i="18"/>
  <c r="F29" i="18"/>
  <c r="C30" i="18"/>
  <c r="D30" i="18"/>
  <c r="E30" i="18"/>
  <c r="F30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  <c r="B30" i="18" l="1"/>
  <c r="B28" i="18"/>
  <c r="B2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<sst xmlns="http://schemas.openxmlformats.org/spreadsheetml/2006/main" count="413" uniqueCount="190">
  <si>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</si>
  <si>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</si>
  <si>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</si>
  <si>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</si>
  <si>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</si>
  <si>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</si>
  <si>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</si>
  <si>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</si>
  <si>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</si>
  <si>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</si>
  <si>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</si>
  <si>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</si>
  <si>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</si>
  <si>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</si>
  <si>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</si>
  <si>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</si>
  <si>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</si>
  <si>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</si>
  <si>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</si>
  <si>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</si>
  <si>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</si>
  <si>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</si>
  <si>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</si>
  <si>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</si>
  <si>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</si>
  <si>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</si>
  <si>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</si>
  <si>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</si>
  <si>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</si>
  <si>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</si>
  <si>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</si>
  <si>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</si>
  <si>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</si>
  <si>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</si>
  <si>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</si>
  <si>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</si>
  <si>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</si>
  <si>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</si>
  <si>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</si>
  <si>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</si>
  <si>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</si>
  <si>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</si>
  <si>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</si>
  <si>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</si>
  <si>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</si>
  <si>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</si>
  <si>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</si>
  <si>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</si>
  <si>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</si>
  <si>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</si>
  <si>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</si>
  <si>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</si>
  <si>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</si>
  <si>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</si>
  <si>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</si>
  <si>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</si>
  <si>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</si>
  <si>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</si>
  <si>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</si>
  <si>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</si>
  <si>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</si>
  <si>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</si>
  <si>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</si>
  <si>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</si>
  <si>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</si>
  <si>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</si>
  <si>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</si>
  <si>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</si>
  <si>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</si>
  <si>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</si>
  <si>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</si>
  <si>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</si>
  <si>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</si>
  <si>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</si>
  <si>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</si>
  <si>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</si>
  <si>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</si>
  <si>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</si>
  <si>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</si>
  <si>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</si>
  <si>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</si>
  <si>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</si>
  <si>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</si>
  <si>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</si>
  <si>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</si>
  <si>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</si>
  <si>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</si>
  <si>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</si>
  <si>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</si>
  <si>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</si>
  <si>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</si>
  <si>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</si>
  <si>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</si>
  <si>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</si>
  <si>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</si>
  <si>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</si>
  <si>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</si>
  <si>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</si>
  <si>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</si>
  <si>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</si>
  <si>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</si>
  <si>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</si>
  <si>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</si>
  <si>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</si>
  <si>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</si>
  <si>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</si>
  <si>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</si>
  <si>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</si>
  <si>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</si>
  <si>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</si>
  <si>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</si>
  <si>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</si>
  <si>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</si>
  <si>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</si>
  <si>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</si>
  <si>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</si>
  <si>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</si>
  <si>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</si>
  <si>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</si>
  <si>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</si>
  <si>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</si>
  <si>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</si>
  <si>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</si>
  <si>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</si>
  <si>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</si>
  <si>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</si>
  <si>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</si>
  <si>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</si>
  <si>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</si>
  <si>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</si>
  <si>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</si>
  <si>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</si>
  <si>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</si>
  <si>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</si>
  <si>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</si>
  <si>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</si>
  <si>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</si>
  <si>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</si>
  <si>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</si>
  <si>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</si>
  <si>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</si>
  <si>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</si>
  <si>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</si>
  <si>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</si>
  <si>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</si>
  <si>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</si>
  <si>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</si>
  <si>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</si>
  <si>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</si>
  <si>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</si>
  <si>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</si>
  <si>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</si>
  <si>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</si>
  <si>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</si>
  <si>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</si>
  <si>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</si>
  <si>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</si>
  <si>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</si>
  <si>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</si>
  <si>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</si>
  <si>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</si>
  <si>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</si>
  <si>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</si>
  <si>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</si>
  <si>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</si>
  <si>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</si>
  <si>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</si>
  <si>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</si>
  <si>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</si>
  <si>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</si>
  <si>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</si>
  <si>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</si>
  <si>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</si>
  <si>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</si>
  <si>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</si>
  <si>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</si>
  <si>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</si>
  <si>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Step 1- I have used Delimit functionality (Alt+D+E).</t>
  </si>
  <si>
    <t>Step 2- I used "fixed width" in it and selected my data from cell A18 to cell A56.</t>
  </si>
  <si>
    <t>Step-3- I used "field widths (column widths)" to delimit the text into different columns.</t>
  </si>
  <si>
    <t>Step-4- I selected the columns in which the desired output data is required.</t>
  </si>
  <si>
    <t>Step-5- The output data is split and visible in the column B to G.</t>
  </si>
  <si>
    <t>Step 2- Then I have used SUM function to simply calculate the sum of the values in Sales coloumn, where "#N/A" is replaced by 20.</t>
  </si>
  <si>
    <t xml:space="preserve">Delimit , formatting </t>
  </si>
  <si>
    <t>Step 1- I have used IFERROR function to check for error- "#N/A" in this case.</t>
  </si>
  <si>
    <t xml:space="preserve">"=SUM(IFERROR(C12:C21,20))" </t>
  </si>
  <si>
    <t>"=INDEX($A$9:$J$18,MATCH(XLOOKUP(A24,$M$10:$M$18,$N$10:$N$18),$A$9:$J$9,0),MATCH(XLOOKUP(B24,$M$10:$M$18,$N$10:$N$18),$A$9:$A$18,0))"</t>
  </si>
  <si>
    <t>Step 1 -  I have used the index functionality to Look up the corresponding letters for name_1 and name_2 from Table B.</t>
  </si>
  <si>
    <t>Step 2 -  i have used the Match functionality to look up the values in Table A based on the row associated with name_1 and the column associated with name_2.</t>
  </si>
  <si>
    <t>Hence, the resulting values in table 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</si>
</sst>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hh:mm:ss;@"/>
    <numFmt numFmtId="166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  <xf numFmtId="164" fontId="18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5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5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6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164" fontId="3" fillId="0" borderId="7" xfId="11" applyFont="1" applyBorder="1"/>
    <xf numFmtId="164" fontId="3" fillId="0" borderId="3" xfId="11" applyFont="1" applyBorder="1"/>
    <xf numFmtId="164" fontId="3" fillId="5" borderId="1" xfId="11" applyFont="1" applyFill="1" applyBorder="1"/>
  </cellXfs>
  <cellStyles count="12">
    <cellStyle name="Comma" xfId="11" builtinId="3"/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" sqref="A2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4" t="s">
        <v>170</v>
      </c>
      <c r="B9" s="25" t="s">
        <v>168</v>
      </c>
    </row>
    <row r="10" spans="1:3" x14ac:dyDescent="0.3">
      <c r="A10" s="33" t="s">
        <v>171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="83" zoomScaleNormal="100" workbookViewId="0">
      <pane ySplit="1" topLeftCell="A2" activePane="bottomLeft" state="frozen"/>
      <selection activeCell="N1" sqref="N1"/>
      <selection pane="bottomLeft" activeCell="H9" sqref="H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</sheetData>
  <autoFilter ref="A1:X40" xr:uid="{00000000-0001-0000-0000-000000000000}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="79" zoomScaleNormal="100" workbookViewId="0">
      <selection activeCell="B5" sqref="B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2">
        <f>SUMIF(Dataset!H2:H40,"&gt;20",Dataset!H2:H40)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showGridLines="0" topLeftCell="A4" zoomScale="54" zoomScaleNormal="100" workbookViewId="0"/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163</v>
      </c>
    </row>
    <row r="2" spans="1:7" s="39" customFormat="1" ht="21" x14ac:dyDescent="0.4">
      <c r="B2" s="39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161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44">
        <f>_xlfn.XLOOKUP(A6,Dataset!A:A,Dataset!G:G)</f>
        <v>2.7</v>
      </c>
      <c r="C6" s="44">
        <f>_xlfn.XLOOKUP(A6,Dataset!A:A,Dataset!N:N)</f>
        <v>7.6</v>
      </c>
      <c r="D6" s="44">
        <f>_xlfn.XLOOKUP(A6,Dataset!A:A,Dataset!R:R)</f>
        <v>4.2</v>
      </c>
      <c r="E6" s="44">
        <f>_xlfn.XLOOKUP(A6,Dataset!A:A,Dataset!T:T)</f>
        <v>8.9</v>
      </c>
      <c r="F6" s="45">
        <f>_xlfn.XLOOKUP(A6,Dataset!A:A,Dataset!V:V)</f>
        <v>4.2</v>
      </c>
    </row>
    <row r="7" spans="1:7" ht="14.4" x14ac:dyDescent="0.3">
      <c r="A7" s="7" t="s">
        <v>4</v>
      </c>
      <c r="B7" s="44">
        <f>_xlfn.XLOOKUP(A7,Dataset!A:A,Dataset!G:G)</f>
        <v>2.7</v>
      </c>
      <c r="C7" s="44">
        <f>_xlfn.XLOOKUP(A7,Dataset!A:A,Dataset!N:N)</f>
        <v>7.6</v>
      </c>
      <c r="D7" s="44">
        <f>_xlfn.XLOOKUP(A7,Dataset!A:A,Dataset!R:R)</f>
        <v>4.2</v>
      </c>
      <c r="E7" s="44">
        <f>_xlfn.XLOOKUP(A7,Dataset!A:A,Dataset!T:T)</f>
        <v>8.9</v>
      </c>
      <c r="F7" s="45">
        <f>_xlfn.XLOOKUP(A7,Dataset!A:A,Dataset!V:V)</f>
        <v>4.2</v>
      </c>
    </row>
    <row r="8" spans="1:7" ht="14.4" x14ac:dyDescent="0.3">
      <c r="A8" s="7" t="s">
        <v>7</v>
      </c>
      <c r="B8" s="44">
        <f>_xlfn.XLOOKUP(A8,Dataset!A:A,Dataset!G:G)</f>
        <v>3.6</v>
      </c>
      <c r="C8" s="44">
        <f>_xlfn.XLOOKUP(A8,Dataset!A:A,Dataset!N:N)</f>
        <v>11.1</v>
      </c>
      <c r="D8" s="44">
        <f>_xlfn.XLOOKUP(A8,Dataset!A:A,Dataset!R:R)</f>
        <v>5.8</v>
      </c>
      <c r="E8" s="44">
        <f>_xlfn.XLOOKUP(A8,Dataset!A:A,Dataset!T:T)</f>
        <v>12.2</v>
      </c>
      <c r="F8" s="45">
        <f>_xlfn.XLOOKUP(A8,Dataset!A:A,Dataset!V:V)</f>
        <v>5.8</v>
      </c>
    </row>
    <row r="9" spans="1:7" ht="14.4" x14ac:dyDescent="0.3">
      <c r="A9" s="7" t="s">
        <v>8</v>
      </c>
      <c r="B9" s="44">
        <f>_xlfn.XLOOKUP(A9,Dataset!A:A,Dataset!G:G)</f>
        <v>4.9000000000000004</v>
      </c>
      <c r="C9" s="44">
        <f>_xlfn.XLOOKUP(A9,Dataset!A:A,Dataset!N:N)</f>
        <v>13.3</v>
      </c>
      <c r="D9" s="44">
        <f>_xlfn.XLOOKUP(A9,Dataset!A:A,Dataset!R:R)</f>
        <v>8.1</v>
      </c>
      <c r="E9" s="44">
        <f>_xlfn.XLOOKUP(A9,Dataset!A:A,Dataset!T:T)</f>
        <v>17</v>
      </c>
      <c r="F9" s="45">
        <f>_xlfn.XLOOKUP(A9,Dataset!A:A,Dataset!V:V)</f>
        <v>8.1</v>
      </c>
    </row>
    <row r="10" spans="1:7" ht="14.4" x14ac:dyDescent="0.3">
      <c r="A10" s="7" t="s">
        <v>11</v>
      </c>
      <c r="B10" s="44">
        <f>_xlfn.XLOOKUP(A10,Dataset!A:A,Dataset!G:G)</f>
        <v>9.4</v>
      </c>
      <c r="C10" s="44">
        <f>_xlfn.XLOOKUP(A10,Dataset!A:A,Dataset!N:N)</f>
        <v>28.3</v>
      </c>
      <c r="D10" s="44">
        <f>_xlfn.XLOOKUP(A10,Dataset!A:A,Dataset!R:R)</f>
        <v>16.100000000000001</v>
      </c>
      <c r="E10" s="44">
        <f>_xlfn.XLOOKUP(A10,Dataset!A:A,Dataset!T:T)</f>
        <v>32.799999999999997</v>
      </c>
      <c r="F10" s="45">
        <f>_xlfn.XLOOKUP(A10,Dataset!A:A,Dataset!V:V)</f>
        <v>16.100000000000001</v>
      </c>
    </row>
    <row r="11" spans="1:7" ht="14.4" x14ac:dyDescent="0.3">
      <c r="A11" s="7" t="s">
        <v>12</v>
      </c>
      <c r="B11" s="44">
        <f>_xlfn.XLOOKUP(A11,Dataset!A:A,Dataset!G:G)</f>
        <v>11.6</v>
      </c>
      <c r="C11" s="44">
        <f>_xlfn.XLOOKUP(A11,Dataset!A:A,Dataset!N:N)</f>
        <v>35.200000000000003</v>
      </c>
      <c r="D11" s="44">
        <f>_xlfn.XLOOKUP(A11,Dataset!A:A,Dataset!R:R)</f>
        <v>21.3</v>
      </c>
      <c r="E11" s="44">
        <f>_xlfn.XLOOKUP(A11,Dataset!A:A,Dataset!T:T)</f>
        <v>43</v>
      </c>
      <c r="F11" s="45">
        <f>_xlfn.XLOOKUP(A11,Dataset!A:A,Dataset!V:V)</f>
        <v>21.3</v>
      </c>
    </row>
    <row r="12" spans="1:7" ht="14.4" x14ac:dyDescent="0.3">
      <c r="A12" s="7" t="s">
        <v>14</v>
      </c>
      <c r="B12" s="44">
        <f>_xlfn.XLOOKUP(A12,Dataset!A:A,Dataset!G:G)</f>
        <v>18.399999999999999</v>
      </c>
      <c r="C12" s="44">
        <f>_xlfn.XLOOKUP(A12,Dataset!A:A,Dataset!N:N)</f>
        <v>55.6</v>
      </c>
      <c r="D12" s="44">
        <f>_xlfn.XLOOKUP(A12,Dataset!A:A,Dataset!R:R)</f>
        <v>33.799999999999997</v>
      </c>
      <c r="E12" s="44">
        <f>_xlfn.XLOOKUP(A12,Dataset!A:A,Dataset!T:T)</f>
        <v>67.900000000000006</v>
      </c>
      <c r="F12" s="45">
        <f>_xlfn.XLOOKUP(A12,Dataset!A:A,Dataset!V:V)</f>
        <v>33.799999999999997</v>
      </c>
    </row>
    <row r="13" spans="1:7" ht="14.4" x14ac:dyDescent="0.3">
      <c r="A13" s="7" t="s">
        <v>15</v>
      </c>
      <c r="B13" s="44">
        <f>_xlfn.XLOOKUP(A13,Dataset!A:A,Dataset!G:G)</f>
        <v>0</v>
      </c>
      <c r="C13" s="44">
        <f>_xlfn.XLOOKUP(A13,Dataset!A:A,Dataset!N:N)</f>
        <v>0</v>
      </c>
      <c r="D13" s="44">
        <f>_xlfn.XLOOKUP(A13,Dataset!A:A,Dataset!R:R)</f>
        <v>0</v>
      </c>
      <c r="E13" s="44">
        <f>_xlfn.XLOOKUP(A13,Dataset!A:A,Dataset!T:T)</f>
        <v>0</v>
      </c>
      <c r="F13" s="45">
        <f>_xlfn.XLOOKUP(A13,Dataset!A:A,Dataset!V:V)</f>
        <v>0</v>
      </c>
    </row>
    <row r="14" spans="1:7" ht="14.4" x14ac:dyDescent="0.3">
      <c r="A14" s="7" t="s">
        <v>16</v>
      </c>
      <c r="B14" s="44">
        <f>_xlfn.XLOOKUP(A14,Dataset!A:A,Dataset!G:G)</f>
        <v>21.9</v>
      </c>
      <c r="C14" s="44">
        <f>_xlfn.XLOOKUP(A14,Dataset!A:A,Dataset!N:N)</f>
        <v>61.5</v>
      </c>
      <c r="D14" s="44">
        <f>_xlfn.XLOOKUP(A14,Dataset!A:A,Dataset!R:R)</f>
        <v>40.1</v>
      </c>
      <c r="E14" s="44">
        <f>_xlfn.XLOOKUP(A14,Dataset!A:A,Dataset!T:T)</f>
        <v>76.599999999999994</v>
      </c>
      <c r="F14" s="45">
        <f>_xlfn.XLOOKUP(A14,Dataset!A:A,Dataset!V:V)</f>
        <v>40.1</v>
      </c>
    </row>
    <row r="15" spans="1:7" ht="14.4" x14ac:dyDescent="0.3">
      <c r="A15" s="7" t="s">
        <v>18</v>
      </c>
      <c r="B15" s="44">
        <f>_xlfn.XLOOKUP(A15,Dataset!A:A,Dataset!G:G)</f>
        <v>26.8</v>
      </c>
      <c r="C15" s="44">
        <f>_xlfn.XLOOKUP(A15,Dataset!A:A,Dataset!N:N)</f>
        <v>79.599999999999994</v>
      </c>
      <c r="D15" s="44">
        <f>_xlfn.XLOOKUP(A15,Dataset!A:A,Dataset!R:R)</f>
        <v>47.9</v>
      </c>
      <c r="E15" s="44">
        <f>_xlfn.XLOOKUP(A15,Dataset!A:A,Dataset!T:T)</f>
        <v>96.8</v>
      </c>
      <c r="F15" s="45">
        <f>_xlfn.XLOOKUP(A15,Dataset!A:A,Dataset!V:V)</f>
        <v>47.9</v>
      </c>
    </row>
    <row r="16" spans="1:7" ht="14.4" x14ac:dyDescent="0.3">
      <c r="A16" s="7" t="s">
        <v>20</v>
      </c>
      <c r="B16" s="44">
        <f>_xlfn.XLOOKUP(A16,Dataset!A:A,Dataset!G:G)</f>
        <v>28.5</v>
      </c>
      <c r="C16" s="44">
        <f>_xlfn.XLOOKUP(A16,Dataset!A:A,Dataset!N:N)</f>
        <v>85.4</v>
      </c>
      <c r="D16" s="44">
        <f>_xlfn.XLOOKUP(A16,Dataset!A:A,Dataset!R:R)</f>
        <v>52.3</v>
      </c>
      <c r="E16" s="44">
        <f>_xlfn.XLOOKUP(A16,Dataset!A:A,Dataset!T:T)</f>
        <v>106.1</v>
      </c>
      <c r="F16" s="45">
        <f>_xlfn.XLOOKUP(A16,Dataset!A:A,Dataset!V:V)</f>
        <v>52.3</v>
      </c>
    </row>
    <row r="17" spans="1:6" ht="14.4" x14ac:dyDescent="0.3">
      <c r="A17" s="7" t="s">
        <v>22</v>
      </c>
      <c r="B17" s="44">
        <f>_xlfn.XLOOKUP(A17,Dataset!A:A,Dataset!G:G)</f>
        <v>30.7</v>
      </c>
      <c r="C17" s="44">
        <f>_xlfn.XLOOKUP(A17,Dataset!A:A,Dataset!N:N)</f>
        <v>92.1</v>
      </c>
      <c r="D17" s="44">
        <f>_xlfn.XLOOKUP(A17,Dataset!A:A,Dataset!R:R)</f>
        <v>57</v>
      </c>
      <c r="E17" s="44">
        <f>_xlfn.XLOOKUP(A17,Dataset!A:A,Dataset!T:T)</f>
        <v>115.1</v>
      </c>
      <c r="F17" s="45">
        <f>_xlfn.XLOOKUP(A17,Dataset!A:A,Dataset!V:V)</f>
        <v>57</v>
      </c>
    </row>
    <row r="18" spans="1:6" ht="14.4" x14ac:dyDescent="0.3">
      <c r="A18" s="7" t="s">
        <v>23</v>
      </c>
      <c r="B18" s="44">
        <f>_xlfn.XLOOKUP(A18,Dataset!A:A,Dataset!G:G)</f>
        <v>33.799999999999997</v>
      </c>
      <c r="C18" s="44">
        <f>_xlfn.XLOOKUP(A18,Dataset!A:A,Dataset!N:N)</f>
        <v>101.3</v>
      </c>
      <c r="D18" s="44">
        <f>_xlfn.XLOOKUP(A18,Dataset!A:A,Dataset!R:R)</f>
        <v>61.4</v>
      </c>
      <c r="E18" s="44">
        <f>_xlfn.XLOOKUP(A18,Dataset!A:A,Dataset!T:T)</f>
        <v>124.4</v>
      </c>
      <c r="F18" s="45">
        <f>_xlfn.XLOOKUP(A18,Dataset!A:A,Dataset!V:V)</f>
        <v>61.4</v>
      </c>
    </row>
    <row r="19" spans="1:6" ht="14.4" x14ac:dyDescent="0.3">
      <c r="A19" s="7" t="s">
        <v>24</v>
      </c>
      <c r="B19" s="44">
        <f>_xlfn.XLOOKUP(A19,Dataset!A:A,Dataset!G:G)</f>
        <v>34.700000000000003</v>
      </c>
      <c r="C19" s="44">
        <f>_xlfn.XLOOKUP(A19,Dataset!A:A,Dataset!N:N)</f>
        <v>106.1</v>
      </c>
      <c r="D19" s="44">
        <f>_xlfn.XLOOKUP(A19,Dataset!A:A,Dataset!R:R)</f>
        <v>63.6</v>
      </c>
      <c r="E19" s="44">
        <f>_xlfn.XLOOKUP(A19,Dataset!A:A,Dataset!T:T)</f>
        <v>128.6</v>
      </c>
      <c r="F19" s="45">
        <f>_xlfn.XLOOKUP(A19,Dataset!A:A,Dataset!V:V)</f>
        <v>63.6</v>
      </c>
    </row>
    <row r="20" spans="1:6" ht="14.4" x14ac:dyDescent="0.3">
      <c r="A20" s="7" t="s">
        <v>28</v>
      </c>
      <c r="B20" s="44">
        <f>_xlfn.XLOOKUP(A20,Dataset!A:A,Dataset!G:G)</f>
        <v>0</v>
      </c>
      <c r="C20" s="44">
        <f>_xlfn.XLOOKUP(A20,Dataset!A:A,Dataset!N:N)</f>
        <v>0</v>
      </c>
      <c r="D20" s="44">
        <f>_xlfn.XLOOKUP(A20,Dataset!A:A,Dataset!R:R)</f>
        <v>0</v>
      </c>
      <c r="E20" s="44">
        <f>_xlfn.XLOOKUP(A20,Dataset!A:A,Dataset!T:T)</f>
        <v>0</v>
      </c>
      <c r="F20" s="45">
        <f>_xlfn.XLOOKUP(A20,Dataset!A:A,Dataset!V:V)</f>
        <v>0</v>
      </c>
    </row>
    <row r="21" spans="1:6" ht="14.4" x14ac:dyDescent="0.3">
      <c r="A21" s="7" t="s">
        <v>57</v>
      </c>
      <c r="B21" s="44">
        <f>_xlfn.XLOOKUP(A21,Dataset!A:A,Dataset!G:G)</f>
        <v>41.3</v>
      </c>
      <c r="C21" s="44">
        <f>_xlfn.XLOOKUP(A21,Dataset!A:A,Dataset!N:N)</f>
        <v>124.4</v>
      </c>
      <c r="D21" s="44">
        <f>_xlfn.XLOOKUP(A21,Dataset!A:A,Dataset!R:R)</f>
        <v>75</v>
      </c>
      <c r="E21" s="44">
        <f>_xlfn.XLOOKUP(A21,Dataset!A:A,Dataset!T:T)</f>
        <v>151.5</v>
      </c>
      <c r="F21" s="45">
        <f>_xlfn.XLOOKUP(A21,Dataset!A:A,Dataset!V:V)</f>
        <v>75</v>
      </c>
    </row>
    <row r="22" spans="1:6" ht="14.4" x14ac:dyDescent="0.3">
      <c r="A22" s="7" t="s">
        <v>58</v>
      </c>
      <c r="B22" s="44">
        <f>_xlfn.XLOOKUP(A22,Dataset!A:A,Dataset!G:G)</f>
        <v>-1</v>
      </c>
      <c r="C22" s="44">
        <f>_xlfn.XLOOKUP(A22,Dataset!A:A,Dataset!N:N)</f>
        <v>-1</v>
      </c>
      <c r="D22" s="44">
        <f>_xlfn.XLOOKUP(A22,Dataset!A:A,Dataset!R:R)</f>
        <v>-1</v>
      </c>
      <c r="E22" s="44">
        <f>_xlfn.XLOOKUP(A22,Dataset!A:A,Dataset!T:T)</f>
        <v>-1</v>
      </c>
      <c r="F22" s="45">
        <f>_xlfn.XLOOKUP(A22,Dataset!A:A,Dataset!V:V)</f>
        <v>-1</v>
      </c>
    </row>
    <row r="23" spans="1:6" ht="14.4" x14ac:dyDescent="0.3">
      <c r="A23" s="7" t="s">
        <v>31</v>
      </c>
      <c r="B23" s="44">
        <f>_xlfn.XLOOKUP(A23,Dataset!A:A,Dataset!G:G)</f>
        <v>45</v>
      </c>
      <c r="C23" s="44">
        <f>_xlfn.XLOOKUP(A23,Dataset!A:A,Dataset!N:N)</f>
        <v>133.4</v>
      </c>
      <c r="D23" s="44">
        <f>_xlfn.XLOOKUP(A23,Dataset!A:A,Dataset!R:R)</f>
        <v>79.400000000000006</v>
      </c>
      <c r="E23" s="44">
        <f>_xlfn.XLOOKUP(A23,Dataset!A:A,Dataset!T:T)</f>
        <v>160.9</v>
      </c>
      <c r="F23" s="45">
        <f>_xlfn.XLOOKUP(A23,Dataset!A:A,Dataset!V:V)</f>
        <v>79.400000000000006</v>
      </c>
    </row>
    <row r="24" spans="1:6" ht="14.4" x14ac:dyDescent="0.3">
      <c r="A24" s="7" t="s">
        <v>32</v>
      </c>
      <c r="B24" s="44">
        <f>_xlfn.XLOOKUP(A24,Dataset!A:A,Dataset!G:G)</f>
        <v>-1</v>
      </c>
      <c r="C24" s="44">
        <f>_xlfn.XLOOKUP(A24,Dataset!A:A,Dataset!N:N)</f>
        <v>-1</v>
      </c>
      <c r="D24" s="44">
        <f>_xlfn.XLOOKUP(A24,Dataset!A:A,Dataset!R:R)</f>
        <v>-1</v>
      </c>
      <c r="E24" s="44">
        <f>_xlfn.XLOOKUP(A24,Dataset!A:A,Dataset!T:T)</f>
        <v>-1</v>
      </c>
      <c r="F24" s="45">
        <f>_xlfn.XLOOKUP(A24,Dataset!A:A,Dataset!V:V)</f>
        <v>-1</v>
      </c>
    </row>
    <row r="25" spans="1:6" ht="14.4" x14ac:dyDescent="0.3">
      <c r="A25" s="7" t="s">
        <v>34</v>
      </c>
      <c r="B25" s="44">
        <f>_xlfn.XLOOKUP(A25,Dataset!A:A,Dataset!G:G)</f>
        <v>43.3</v>
      </c>
      <c r="C25" s="44">
        <f>_xlfn.XLOOKUP(A25,Dataset!A:A,Dataset!N:N)</f>
        <v>128.6</v>
      </c>
      <c r="D25" s="44">
        <f>_xlfn.XLOOKUP(A25,Dataset!A:A,Dataset!R:R)</f>
        <v>79.400000000000006</v>
      </c>
      <c r="E25" s="44">
        <f>_xlfn.XLOOKUP(A25,Dataset!A:A,Dataset!T:T)</f>
        <v>160.9</v>
      </c>
      <c r="F25" s="45">
        <f>_xlfn.XLOOKUP(A25,Dataset!A:A,Dataset!V:V)</f>
        <v>79.400000000000006</v>
      </c>
    </row>
    <row r="26" spans="1:6" ht="14.4" x14ac:dyDescent="0.3">
      <c r="A26" s="7" t="s">
        <v>37</v>
      </c>
      <c r="B26" s="44">
        <f>_xlfn.XLOOKUP(A26,Dataset!A:A,Dataset!G:G)</f>
        <v>49.1</v>
      </c>
      <c r="C26" s="44">
        <f>_xlfn.XLOOKUP(A26,Dataset!A:A,Dataset!N:N)</f>
        <v>146.80000000000001</v>
      </c>
      <c r="D26" s="44">
        <f>_xlfn.XLOOKUP(A26,Dataset!A:A,Dataset!R:R)</f>
        <v>90.9</v>
      </c>
      <c r="E26" s="44">
        <f>_xlfn.XLOOKUP(A26,Dataset!A:A,Dataset!T:T)</f>
        <v>183.5</v>
      </c>
      <c r="F26" s="45">
        <f>_xlfn.XLOOKUP(A26,Dataset!A:A,Dataset!V:V)</f>
        <v>90.9</v>
      </c>
    </row>
    <row r="27" spans="1:6" ht="14.4" x14ac:dyDescent="0.3">
      <c r="A27" s="7" t="s">
        <v>39</v>
      </c>
      <c r="B27" s="44">
        <f>_xlfn.XLOOKUP(A27,Dataset!A:A,Dataset!G:G)</f>
        <v>51.8</v>
      </c>
      <c r="C27" s="44">
        <f>_xlfn.XLOOKUP(A27,Dataset!A:A,Dataset!N:N)</f>
        <v>156.4</v>
      </c>
      <c r="D27" s="44">
        <f>_xlfn.XLOOKUP(A27,Dataset!A:A,Dataset!R:R)</f>
        <v>93.1</v>
      </c>
      <c r="E27" s="44">
        <f>_xlfn.XLOOKUP(A27,Dataset!A:A,Dataset!T:T)</f>
        <v>188.1</v>
      </c>
      <c r="F27" s="45">
        <f>_xlfn.XLOOKUP(A27,Dataset!A:A,Dataset!V:V)</f>
        <v>93.1</v>
      </c>
    </row>
    <row r="28" spans="1:6" ht="14.4" x14ac:dyDescent="0.3">
      <c r="A28" s="18" t="s">
        <v>82</v>
      </c>
      <c r="B28" s="46">
        <f>MIN($B$6:$B$27)</f>
        <v>-1</v>
      </c>
      <c r="C28" s="46">
        <f t="shared" ref="C28:F28" si="0">MIN($B$6:$B$27)</f>
        <v>-1</v>
      </c>
      <c r="D28" s="46">
        <f t="shared" si="0"/>
        <v>-1</v>
      </c>
      <c r="E28" s="46">
        <f t="shared" si="0"/>
        <v>-1</v>
      </c>
      <c r="F28" s="46">
        <f t="shared" si="0"/>
        <v>-1</v>
      </c>
    </row>
    <row r="29" spans="1:6" ht="14.4" x14ac:dyDescent="0.3">
      <c r="A29" s="18" t="s">
        <v>83</v>
      </c>
      <c r="B29" s="46">
        <f>MAX($B$6:$B$27)</f>
        <v>51.8</v>
      </c>
      <c r="C29" s="46">
        <f t="shared" ref="C29:F29" si="1">MAX($B$6:$B$27)</f>
        <v>51.8</v>
      </c>
      <c r="D29" s="46">
        <f t="shared" si="1"/>
        <v>51.8</v>
      </c>
      <c r="E29" s="46">
        <f t="shared" si="1"/>
        <v>51.8</v>
      </c>
      <c r="F29" s="46">
        <f t="shared" si="1"/>
        <v>51.8</v>
      </c>
    </row>
    <row r="30" spans="1:6" ht="14.4" x14ac:dyDescent="0.3">
      <c r="A30" s="18" t="s">
        <v>84</v>
      </c>
      <c r="B30" s="46">
        <f>AVERAGE($B$6:$B$27)</f>
        <v>20.827272727272728</v>
      </c>
      <c r="C30" s="46">
        <f t="shared" ref="C30:F30" si="2">AVERAGE($B$6:$B$27)</f>
        <v>20.827272727272728</v>
      </c>
      <c r="D30" s="46">
        <f t="shared" si="2"/>
        <v>20.827272727272728</v>
      </c>
      <c r="E30" s="46">
        <f t="shared" si="2"/>
        <v>20.827272727272728</v>
      </c>
      <c r="F30" s="46">
        <f t="shared" si="2"/>
        <v>20.827272727272728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7"/>
  <sheetViews>
    <sheetView showGridLines="0" zoomScale="54" zoomScaleNormal="100" workbookViewId="0">
      <selection activeCell="J18" sqref="J1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1" t="s">
        <v>53</v>
      </c>
      <c r="B5" s="38" t="s">
        <v>183</v>
      </c>
    </row>
    <row r="6" spans="1:10" ht="18" x14ac:dyDescent="0.35">
      <c r="A6" s="41" t="s">
        <v>152</v>
      </c>
      <c r="B6" s="38" t="s">
        <v>177</v>
      </c>
    </row>
    <row r="7" spans="1:10" ht="18" x14ac:dyDescent="0.35">
      <c r="A7" s="41"/>
      <c r="B7" s="38" t="s">
        <v>178</v>
      </c>
    </row>
    <row r="8" spans="1:10" ht="18" x14ac:dyDescent="0.35">
      <c r="A8" s="41"/>
      <c r="B8" s="38" t="s">
        <v>179</v>
      </c>
    </row>
    <row r="9" spans="1:10" ht="18" x14ac:dyDescent="0.35">
      <c r="A9" s="41"/>
      <c r="B9" s="38" t="s">
        <v>180</v>
      </c>
    </row>
    <row r="10" spans="1:10" ht="18" x14ac:dyDescent="0.35">
      <c r="A10" s="41"/>
      <c r="B10" s="38" t="s">
        <v>181</v>
      </c>
    </row>
    <row r="12" spans="1:10" ht="23.4" x14ac:dyDescent="0.45">
      <c r="A12" s="17" t="s">
        <v>164</v>
      </c>
      <c r="I12" s="2"/>
      <c r="J12" s="2"/>
    </row>
    <row r="13" spans="1:10" x14ac:dyDescent="0.3">
      <c r="A13" s="31" t="s">
        <v>102</v>
      </c>
      <c r="B13" s="16" t="s">
        <v>49</v>
      </c>
      <c r="C13" s="16" t="s">
        <v>50</v>
      </c>
      <c r="D13" s="16" t="s">
        <v>51</v>
      </c>
      <c r="E13" s="16" t="s">
        <v>52</v>
      </c>
      <c r="F13" s="16" t="s">
        <v>54</v>
      </c>
      <c r="I13" s="2"/>
      <c r="J13" s="2"/>
    </row>
    <row r="14" spans="1:10" x14ac:dyDescent="0.3">
      <c r="A14" s="8" t="s">
        <v>120</v>
      </c>
      <c r="B14" s="12">
        <v>20000</v>
      </c>
      <c r="C14" s="12" t="s">
        <v>5</v>
      </c>
      <c r="D14" s="12">
        <v>0</v>
      </c>
      <c r="E14" s="10" t="s">
        <v>6</v>
      </c>
      <c r="F14" s="10">
        <v>24</v>
      </c>
      <c r="I14" s="2"/>
      <c r="J14" s="2"/>
    </row>
    <row r="17" spans="1:6" ht="23.4" x14ac:dyDescent="0.45">
      <c r="A17" s="17" t="s">
        <v>161</v>
      </c>
    </row>
    <row r="18" spans="1:6" x14ac:dyDescent="0.3">
      <c r="A18" s="13" t="s">
        <v>103</v>
      </c>
      <c r="B18" s="16" t="s">
        <v>49</v>
      </c>
      <c r="C18" s="14" t="s">
        <v>50</v>
      </c>
      <c r="D18" s="16" t="s">
        <v>51</v>
      </c>
      <c r="E18" s="14" t="s">
        <v>52</v>
      </c>
      <c r="F18" s="16" t="s">
        <v>54</v>
      </c>
    </row>
    <row r="19" spans="1:6" x14ac:dyDescent="0.3">
      <c r="A19" s="7" t="s">
        <v>120</v>
      </c>
      <c r="B19" s="11">
        <v>20000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121</v>
      </c>
      <c r="B20" s="11">
        <v>20002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122</v>
      </c>
      <c r="B21" s="11">
        <v>20004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123</v>
      </c>
      <c r="B22" s="11">
        <v>20006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124</v>
      </c>
      <c r="B23" s="11">
        <v>20008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125</v>
      </c>
      <c r="B24" s="11">
        <v>20010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126</v>
      </c>
      <c r="B25" s="11">
        <v>20012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127</v>
      </c>
      <c r="B26" s="11">
        <v>20014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128</v>
      </c>
      <c r="B27" s="11">
        <v>20016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129</v>
      </c>
      <c r="B28" s="11">
        <v>20018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130</v>
      </c>
      <c r="B29" s="11">
        <v>20020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131</v>
      </c>
      <c r="B30" s="11">
        <v>20022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132</v>
      </c>
      <c r="B31" s="11">
        <v>20024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133</v>
      </c>
      <c r="B32" s="11">
        <v>20026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134</v>
      </c>
      <c r="B33" s="11">
        <v>20028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135</v>
      </c>
      <c r="B34" s="11">
        <v>20030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136</v>
      </c>
      <c r="B35" s="11">
        <v>20032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137</v>
      </c>
      <c r="B36" s="11">
        <v>20034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138</v>
      </c>
      <c r="B37" s="11">
        <v>20036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139</v>
      </c>
      <c r="B38" s="11">
        <v>20038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140</v>
      </c>
      <c r="B39" s="11">
        <v>20040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141</v>
      </c>
      <c r="B40" s="11">
        <v>20042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142</v>
      </c>
      <c r="B41" s="11">
        <v>20044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143</v>
      </c>
      <c r="B42" s="11">
        <v>20046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144</v>
      </c>
      <c r="B43" s="11">
        <v>20048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145</v>
      </c>
      <c r="B44" s="11">
        <v>20050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146</v>
      </c>
      <c r="B45" s="11">
        <v>20052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147</v>
      </c>
      <c r="B46" s="11">
        <v>20054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148</v>
      </c>
      <c r="B47" s="11">
        <v>20058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149</v>
      </c>
      <c r="B48" s="11">
        <v>20060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111</v>
      </c>
      <c r="B49" s="11">
        <v>21000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112</v>
      </c>
      <c r="B50" s="11">
        <v>21002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113</v>
      </c>
      <c r="B51" s="11">
        <v>21004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114</v>
      </c>
      <c r="B52" s="11">
        <v>21006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115</v>
      </c>
      <c r="B53" s="11">
        <v>21008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7" t="s">
        <v>116</v>
      </c>
      <c r="B54" s="11">
        <v>21010</v>
      </c>
      <c r="C54" s="1" t="s">
        <v>5</v>
      </c>
      <c r="D54" s="11">
        <v>0</v>
      </c>
      <c r="E54" s="1" t="s">
        <v>6</v>
      </c>
      <c r="F54" s="11">
        <v>24</v>
      </c>
    </row>
    <row r="55" spans="1:6" x14ac:dyDescent="0.3">
      <c r="A55" s="7" t="s">
        <v>117</v>
      </c>
      <c r="B55" s="11">
        <v>21012</v>
      </c>
      <c r="C55" s="1" t="s">
        <v>5</v>
      </c>
      <c r="D55" s="11">
        <v>0</v>
      </c>
      <c r="E55" s="1" t="s">
        <v>6</v>
      </c>
      <c r="F55" s="11">
        <v>24</v>
      </c>
    </row>
    <row r="56" spans="1:6" x14ac:dyDescent="0.3">
      <c r="A56" s="7" t="s">
        <v>118</v>
      </c>
      <c r="B56" s="11">
        <v>21014</v>
      </c>
      <c r="C56" s="1" t="s">
        <v>5</v>
      </c>
      <c r="D56" s="11">
        <v>0</v>
      </c>
      <c r="E56" s="1" t="s">
        <v>6</v>
      </c>
      <c r="F56" s="11">
        <v>24</v>
      </c>
    </row>
    <row r="57" spans="1:6" x14ac:dyDescent="0.3">
      <c r="A57" s="8" t="s">
        <v>119</v>
      </c>
      <c r="B57" s="12">
        <v>21016</v>
      </c>
      <c r="C57" s="9" t="s">
        <v>5</v>
      </c>
      <c r="D57" s="12">
        <v>0</v>
      </c>
      <c r="E57" s="9" t="s">
        <v>6</v>
      </c>
      <c r="F57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I22"/>
  <sheetViews>
    <sheetView showGridLines="0" zoomScale="78" zoomScaleNormal="100" workbookViewId="0">
      <selection activeCell="F25" sqref="F25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9" ht="21" x14ac:dyDescent="0.4">
      <c r="A1" s="40" t="s">
        <v>85</v>
      </c>
      <c r="B1" s="39" t="s">
        <v>166</v>
      </c>
    </row>
    <row r="2" spans="1:9" ht="18" x14ac:dyDescent="0.35">
      <c r="B2" s="38" t="s">
        <v>165</v>
      </c>
    </row>
    <row r="5" spans="1:9" ht="14.4" x14ac:dyDescent="0.3">
      <c r="B5" s="1" t="s">
        <v>150</v>
      </c>
    </row>
    <row r="6" spans="1:9" ht="14.4" x14ac:dyDescent="0.3">
      <c r="A6" s="3" t="s">
        <v>53</v>
      </c>
      <c r="B6" s="1" t="s">
        <v>185</v>
      </c>
    </row>
    <row r="7" spans="1:9" ht="14.4" x14ac:dyDescent="0.3">
      <c r="A7" s="3" t="s">
        <v>152</v>
      </c>
      <c r="B7" s="1" t="s">
        <v>184</v>
      </c>
    </row>
    <row r="8" spans="1:9" ht="14.4" x14ac:dyDescent="0.3">
      <c r="B8" s="1" t="s">
        <v>182</v>
      </c>
      <c r="C8" s="1"/>
      <c r="D8" s="1"/>
      <c r="E8" s="1"/>
      <c r="F8" s="1"/>
      <c r="G8" s="1"/>
      <c r="H8" s="1"/>
      <c r="I8" s="1"/>
    </row>
    <row r="10" spans="1:9" ht="23.4" x14ac:dyDescent="0.45">
      <c r="A10" s="17" t="s">
        <v>161</v>
      </c>
    </row>
    <row r="11" spans="1:9" ht="14.4" x14ac:dyDescent="0.3">
      <c r="A11" s="30" t="s">
        <v>86</v>
      </c>
      <c r="B11" s="16" t="s">
        <v>87</v>
      </c>
      <c r="C11" s="16" t="s">
        <v>88</v>
      </c>
    </row>
    <row r="12" spans="1:9" ht="14.4" x14ac:dyDescent="0.3">
      <c r="A12" s="30">
        <v>44927</v>
      </c>
      <c r="B12" s="16" t="s">
        <v>59</v>
      </c>
      <c r="C12" s="16">
        <v>200</v>
      </c>
      <c r="D12" s="1"/>
    </row>
    <row r="13" spans="1:9" ht="14.4" x14ac:dyDescent="0.3">
      <c r="A13" s="30">
        <v>44928</v>
      </c>
      <c r="B13" s="16" t="s">
        <v>60</v>
      </c>
      <c r="C13" s="16" t="e">
        <v>#N/A</v>
      </c>
    </row>
    <row r="14" spans="1:9" ht="14.4" x14ac:dyDescent="0.3">
      <c r="A14" s="30">
        <v>44929</v>
      </c>
      <c r="B14" s="16" t="s">
        <v>61</v>
      </c>
      <c r="C14" s="16">
        <v>50</v>
      </c>
      <c r="D14" s="1"/>
    </row>
    <row r="15" spans="1:9" ht="14.4" x14ac:dyDescent="0.3">
      <c r="A15" s="30">
        <v>44930</v>
      </c>
      <c r="B15" s="16" t="s">
        <v>62</v>
      </c>
      <c r="C15" s="16" t="e">
        <v>#N/A</v>
      </c>
    </row>
    <row r="16" spans="1:9" ht="14.4" x14ac:dyDescent="0.3">
      <c r="A16" s="30">
        <v>44931</v>
      </c>
      <c r="B16" s="16" t="s">
        <v>63</v>
      </c>
      <c r="C16" s="16">
        <v>10</v>
      </c>
      <c r="D16" s="1"/>
    </row>
    <row r="17" spans="1:4" ht="14.4" x14ac:dyDescent="0.3">
      <c r="A17" s="30">
        <v>44932</v>
      </c>
      <c r="B17" s="16" t="s">
        <v>153</v>
      </c>
      <c r="C17" s="16">
        <v>150</v>
      </c>
      <c r="D17" s="1"/>
    </row>
    <row r="18" spans="1:4" ht="14.4" x14ac:dyDescent="0.3">
      <c r="A18" s="30">
        <v>44933</v>
      </c>
      <c r="B18" s="16" t="s">
        <v>154</v>
      </c>
      <c r="C18" s="16">
        <v>80</v>
      </c>
      <c r="D18" s="1"/>
    </row>
    <row r="19" spans="1:4" ht="14.4" x14ac:dyDescent="0.3">
      <c r="A19" s="30">
        <v>44934</v>
      </c>
      <c r="B19" s="16" t="s">
        <v>155</v>
      </c>
      <c r="C19" s="16" t="e">
        <v>#N/A</v>
      </c>
    </row>
    <row r="20" spans="1:4" ht="14.4" x14ac:dyDescent="0.3">
      <c r="A20" s="30">
        <v>44935</v>
      </c>
      <c r="B20" s="16" t="s">
        <v>156</v>
      </c>
      <c r="C20" s="16">
        <v>30</v>
      </c>
      <c r="D20" s="1"/>
    </row>
    <row r="21" spans="1:4" ht="14.4" x14ac:dyDescent="0.3">
      <c r="A21" s="30">
        <v>44936</v>
      </c>
      <c r="B21" s="16" t="s">
        <v>157</v>
      </c>
      <c r="C21" s="16" t="e">
        <v>#N/A</v>
      </c>
    </row>
    <row r="22" spans="1:4" ht="14.4" x14ac:dyDescent="0.3">
      <c r="B22" s="18" t="s">
        <v>158</v>
      </c>
      <c r="C22" s="25" cm="1">
        <f t="array" ref="C22">SUM(IFERROR(C12:C21,20))</f>
        <v>600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showGridLines="0" tabSelected="1" zoomScale="60" zoomScaleNormal="100" workbookViewId="0">
      <selection activeCell="J39" sqref="J39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174</v>
      </c>
    </row>
    <row r="3" spans="1:14" ht="14.4" x14ac:dyDescent="0.3">
      <c r="B3" s="1" t="s">
        <v>150</v>
      </c>
    </row>
    <row r="4" spans="1:14" ht="18" x14ac:dyDescent="0.35">
      <c r="A4" s="41" t="s">
        <v>53</v>
      </c>
      <c r="B4" s="1"/>
      <c r="C4" s="2" t="s">
        <v>186</v>
      </c>
    </row>
    <row r="5" spans="1:14" ht="18" x14ac:dyDescent="0.35">
      <c r="A5" s="41" t="s">
        <v>152</v>
      </c>
      <c r="B5" s="1"/>
      <c r="C5" s="2" t="s">
        <v>187</v>
      </c>
    </row>
    <row r="6" spans="1:14" ht="14.4" x14ac:dyDescent="0.3">
      <c r="A6" s="3"/>
      <c r="B6" s="1"/>
      <c r="C6" s="2" t="s">
        <v>188</v>
      </c>
    </row>
    <row r="7" spans="1:14" x14ac:dyDescent="0.3">
      <c r="C7" s="2" t="s">
        <v>189</v>
      </c>
    </row>
    <row r="8" spans="1:14" ht="23.4" x14ac:dyDescent="0.45">
      <c r="A8" s="17" t="s">
        <v>161</v>
      </c>
      <c r="M8" s="17" t="s">
        <v>162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167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2">
        <f>INDEX($A$9:$J$18,MATCH(_xlfn.XLOOKUP(A23,$M$10:$M$18,$N$10:$N$18),$A$9:$J$9,0),MATCH(_xlfn.XLOOKUP(B23,$M$10:$M$18,$N$10:$N$18),$A$9:$A$18,0))</f>
        <v>95</v>
      </c>
    </row>
    <row r="24" spans="1:14" ht="14.4" x14ac:dyDescent="0.3">
      <c r="A24" s="7">
        <v>10100</v>
      </c>
      <c r="B24" s="11">
        <v>10104</v>
      </c>
      <c r="C24" s="42">
        <f t="shared" ref="C24:C35" si="0">INDEX($A$9:$J$18,MATCH(_xlfn.XLOOKUP(A24,$M$10:$M$18,$N$10:$N$18),$A$9:$J$9,0),MATCH(_xlfn.XLOOKUP(B24,$M$10:$M$18,$N$10:$N$18),$A$9:$A$18,0))</f>
        <v>-1</v>
      </c>
    </row>
    <row r="25" spans="1:14" ht="14.4" x14ac:dyDescent="0.3">
      <c r="A25" s="7">
        <v>10108</v>
      </c>
      <c r="B25" s="11">
        <v>10102</v>
      </c>
      <c r="C25" s="42">
        <f t="shared" si="0"/>
        <v>160</v>
      </c>
    </row>
    <row r="26" spans="1:14" ht="14.4" x14ac:dyDescent="0.3">
      <c r="A26" s="7">
        <v>10100</v>
      </c>
      <c r="B26" s="11">
        <v>10106</v>
      </c>
      <c r="C26" s="42">
        <f t="shared" si="0"/>
        <v>185</v>
      </c>
    </row>
    <row r="27" spans="1:14" ht="14.4" x14ac:dyDescent="0.3">
      <c r="A27" s="7">
        <v>10108</v>
      </c>
      <c r="B27" s="11">
        <v>10110</v>
      </c>
      <c r="C27" s="42">
        <f t="shared" si="0"/>
        <v>50</v>
      </c>
    </row>
    <row r="28" spans="1:14" ht="14.4" x14ac:dyDescent="0.3">
      <c r="A28" s="7">
        <v>10102</v>
      </c>
      <c r="B28" s="11">
        <v>10104</v>
      </c>
      <c r="C28" s="42">
        <f t="shared" si="0"/>
        <v>-1</v>
      </c>
    </row>
    <row r="29" spans="1:14" ht="14.4" x14ac:dyDescent="0.3">
      <c r="A29" s="7">
        <v>10106</v>
      </c>
      <c r="B29" s="11">
        <v>10108</v>
      </c>
      <c r="C29" s="42">
        <f t="shared" si="0"/>
        <v>70</v>
      </c>
    </row>
    <row r="30" spans="1:14" ht="14.4" x14ac:dyDescent="0.3">
      <c r="A30" s="7">
        <v>10102</v>
      </c>
      <c r="B30" s="11">
        <v>10106</v>
      </c>
      <c r="C30" s="42">
        <f t="shared" si="0"/>
        <v>90</v>
      </c>
    </row>
    <row r="31" spans="1:14" ht="14.4" x14ac:dyDescent="0.3">
      <c r="A31" s="7">
        <v>10110</v>
      </c>
      <c r="B31" s="11">
        <v>10114</v>
      </c>
      <c r="C31" s="42">
        <f t="shared" si="0"/>
        <v>180</v>
      </c>
    </row>
    <row r="32" spans="1:14" ht="14.4" x14ac:dyDescent="0.3">
      <c r="A32" s="7">
        <v>10104</v>
      </c>
      <c r="B32" s="11">
        <v>10106</v>
      </c>
      <c r="C32" s="42">
        <f t="shared" si="0"/>
        <v>60</v>
      </c>
    </row>
    <row r="33" spans="1:3" ht="14.4" x14ac:dyDescent="0.3">
      <c r="A33" s="7">
        <v>10110</v>
      </c>
      <c r="B33" s="11">
        <v>10112</v>
      </c>
      <c r="C33" s="42">
        <f t="shared" si="0"/>
        <v>115</v>
      </c>
    </row>
    <row r="34" spans="1:3" ht="14.4" x14ac:dyDescent="0.3">
      <c r="A34" s="7">
        <v>10100</v>
      </c>
      <c r="B34" s="11">
        <v>10114</v>
      </c>
      <c r="C34" s="42">
        <f t="shared" si="0"/>
        <v>480</v>
      </c>
    </row>
    <row r="35" spans="1:3" ht="14.4" x14ac:dyDescent="0.3">
      <c r="A35" s="8">
        <v>10112</v>
      </c>
      <c r="B35" s="12">
        <v>10116</v>
      </c>
      <c r="C35" s="42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Maaz Javed</cp:lastModifiedBy>
  <cp:lastPrinted>2024-10-23T14:41:10Z</cp:lastPrinted>
  <dcterms:created xsi:type="dcterms:W3CDTF">2015-02-10T17:33:11Z</dcterms:created>
  <dcterms:modified xsi:type="dcterms:W3CDTF">2024-10-23T16:45:55Z</dcterms:modified>
</cp:coreProperties>
</file>